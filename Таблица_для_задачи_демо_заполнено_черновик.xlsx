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3"/>
  <sheetViews>
    <sheetView tabSelected="1" topLeftCell="B1" workbookViewId="0">
      <selection activeCell="J4" sqref="J4"/>
    </sheetView>
  </sheetViews>
  <sheetFormatPr baseColWidth="8" defaultRowHeight="15"/>
  <cols>
    <col width="42.5703125" bestFit="1" customWidth="1" min="1" max="1"/>
    <col width="42.5703125" customWidth="1" min="2" max="2"/>
    <col width="47.42578125" bestFit="1" customWidth="1" min="3" max="3"/>
    <col width="30.140625" bestFit="1" customWidth="1" min="4" max="4"/>
    <col width="6.140625" customWidth="1" min="5" max="5"/>
    <col width="31.140625" bestFit="1" customWidth="1" min="6" max="6"/>
    <col width="24.7109375" bestFit="1" customWidth="1" min="7" max="7"/>
    <col width="18.85546875" bestFit="1" customWidth="1" min="8" max="8"/>
    <col width="37" bestFit="1" customWidth="1" min="9" max="9"/>
    <col width="48.140625" bestFit="1" customWidth="1" min="10" max="10"/>
  </cols>
  <sheetData>
    <row r="3" customFormat="1" s="2">
      <c r="A3" s="2" t="inlineStr">
        <is>
          <t>Название товара</t>
        </is>
      </c>
      <c r="B3" s="2" t="inlineStr">
        <is>
          <t>Ссылка на страницу магазина</t>
        </is>
      </c>
      <c r="C3" s="2" t="inlineStr">
        <is>
          <t>Количество</t>
        </is>
      </c>
      <c r="D3" s="2" t="inlineStr">
        <is>
          <t>Цена в магазине в рублях</t>
        </is>
      </c>
      <c r="F3" s="2" t="inlineStr">
        <is>
          <t>Масса товара без упаковки</t>
        </is>
      </c>
      <c r="G3" s="2" t="inlineStr">
        <is>
          <t>Масса товара с упаковкой</t>
        </is>
      </c>
      <c r="H3" s="2" t="inlineStr">
        <is>
          <t>Цена доставки, руб</t>
        </is>
      </c>
      <c r="I3" s="2" t="inlineStr">
        <is>
          <t>(Цена закупки+доставки+маржа)*НДС</t>
        </is>
      </c>
      <c r="J3" s="2" t="inlineStr">
        <is>
          <t>Сумма в КП (что предлагаем поупателю в России)</t>
        </is>
      </c>
    </row>
    <row r="4">
      <c r="A4" s="1" t="inlineStr">
        <is>
          <t>Фланец с осью FESTO SNCS-80 (174401)</t>
        </is>
      </c>
      <c r="B4" s="1" t="inlineStr"/>
      <c r="C4" s="1" t="n">
        <v>1</v>
      </c>
      <c r="D4" s="1" t="inlineStr"/>
      <c r="F4" s="1" t="inlineStr"/>
      <c r="G4" s="1" t="inlineStr"/>
      <c r="H4">
        <f>3000*G4</f>
        <v/>
      </c>
      <c r="I4">
        <f>(E4+H4+(E4+H4)*0.2)*1.22</f>
        <v/>
      </c>
      <c r="J4">
        <f>I4*C4</f>
        <v/>
      </c>
    </row>
    <row r="5">
      <c r="A5" s="1" t="inlineStr">
        <is>
          <t>Головка шарнирная Festo SGS-M20x1,5 с шестигранной гайкой для сферического поворотного крепления цилиндров Festo серий DSBC, DSBG, DNC (9264)</t>
        </is>
      </c>
      <c r="B5" s="1" t="inlineStr"/>
      <c r="C5" s="1" t="n">
        <v>2</v>
      </c>
      <c r="D5" s="1" t="inlineStr"/>
      <c r="F5" s="1" t="inlineStr"/>
      <c r="G5" s="1" t="inlineStr"/>
      <c r="H5">
        <f>3000*G5</f>
        <v/>
      </c>
      <c r="I5">
        <f>(E5+H5+(E5+H5)*0.2)*1.22</f>
        <v/>
      </c>
    </row>
    <row r="6">
      <c r="A6" s="1" t="inlineStr">
        <is>
          <t>Распределитель Festo CPE14-M1BH-5L-1/8 с электроуправлением 8 бар 800 л/мин (196941)</t>
        </is>
      </c>
      <c r="B6" s="1" t="inlineStr"/>
      <c r="C6" s="1" t="n">
        <v>2</v>
      </c>
      <c r="D6" s="1" t="inlineStr"/>
      <c r="F6" s="1" t="inlineStr"/>
      <c r="G6" s="1" t="inlineStr"/>
      <c r="H6">
        <f>3000*G6</f>
        <v/>
      </c>
      <c r="I6">
        <f>(E6+H6+(E6+H6)*0.2)*1.22</f>
        <v/>
      </c>
    </row>
    <row r="7">
      <c r="A7" s="1" t="inlineStr">
        <is>
          <t>Цилиндр стандартный FESTO DSN-12-25-P (5048)</t>
        </is>
      </c>
      <c r="B7" s="1" t="inlineStr"/>
      <c r="C7" s="1" t="n">
        <v>1</v>
      </c>
      <c r="D7" s="1" t="inlineStr"/>
      <c r="F7" s="1" t="inlineStr"/>
      <c r="G7" s="1" t="inlineStr"/>
      <c r="H7">
        <f>3000*G7</f>
        <v/>
      </c>
      <c r="I7">
        <f>(E7+H7+(E7+H7)*0.2)*1.22</f>
        <v/>
      </c>
    </row>
    <row r="8">
      <c r="A8" s="1" t="inlineStr">
        <is>
          <t>Патрон стопорный Festo KP-25-5000 ф25 (178460)</t>
        </is>
      </c>
      <c r="B8" s="1" t="inlineStr"/>
      <c r="C8" s="1" t="n">
        <v>2</v>
      </c>
      <c r="D8" s="1" t="inlineStr"/>
      <c r="F8" s="1" t="inlineStr"/>
      <c r="G8" s="1" t="inlineStr"/>
      <c r="H8">
        <f>3000*G8</f>
        <v/>
      </c>
      <c r="I8">
        <f>(E8+H8+(E8+H8)*0.2)*1.22</f>
        <v/>
      </c>
    </row>
    <row r="9">
      <c r="A9" s="1" t="inlineStr">
        <is>
          <t>Розетка штекерная с кабелем Festo KME-1-24DC-5-LED 4 А 24 В 3-pin тип C IP67 (30945)</t>
        </is>
      </c>
      <c r="B9" s="1" t="inlineStr"/>
      <c r="C9" s="1" t="n">
        <v>4</v>
      </c>
      <c r="D9" s="1" t="inlineStr"/>
      <c r="F9" s="1" t="inlineStr"/>
      <c r="G9" s="1" t="inlineStr"/>
      <c r="H9">
        <f>3000*G9</f>
        <v/>
      </c>
      <c r="I9">
        <f>(E9+H9+(E9+H9)*0.2)*1.22</f>
        <v/>
      </c>
    </row>
    <row r="10">
      <c r="A10" s="1" t="inlineStr">
        <is>
          <t>Распределитель Festo MPYE-5-3/8-010-B с пропорциональным управлением 10 бар 2000 л/мин (151695)</t>
        </is>
      </c>
      <c r="B10" s="1" t="inlineStr"/>
      <c r="C10" s="1" t="n">
        <v>1</v>
      </c>
      <c r="D10" s="1" t="inlineStr"/>
      <c r="F10" s="1" t="inlineStr"/>
      <c r="G10" s="1" t="inlineStr"/>
      <c r="H10">
        <f>3000*G10</f>
        <v/>
      </c>
      <c r="I10">
        <f>(E10+H10+(E10+H10)*0.2)*1.22</f>
        <v/>
      </c>
    </row>
    <row r="11">
      <c r="A11" s="1" t="inlineStr">
        <is>
          <t>Распределитель Festo MFH-5-1/8-B с электроуправлением 10 бар 750 л/мин (19758)</t>
        </is>
      </c>
      <c r="B11" s="1" t="inlineStr"/>
      <c r="C11" s="1" t="n">
        <v>7</v>
      </c>
      <c r="D11" s="1" t="inlineStr"/>
      <c r="F11" s="1" t="inlineStr"/>
      <c r="G11" s="1" t="inlineStr"/>
      <c r="H11">
        <f>3000*G11</f>
        <v/>
      </c>
      <c r="I11">
        <f>(E11+H11+(E11+H11)*0.2)*1.22</f>
        <v/>
      </c>
    </row>
    <row r="12">
      <c r="A12" s="1" t="inlineStr">
        <is>
          <t>Плита Festo PRS-1/8-7-BB для блочного монтажа (30547)</t>
        </is>
      </c>
      <c r="B12" s="1" t="inlineStr"/>
      <c r="C12" s="1" t="n">
        <v>1</v>
      </c>
      <c r="D12" s="1" t="inlineStr"/>
      <c r="F12" s="1" t="inlineStr"/>
      <c r="G12" s="1" t="inlineStr"/>
      <c r="H12">
        <f>3000*G12</f>
        <v/>
      </c>
      <c r="I12">
        <f>(E12+H12+(E12+H12)*0.2)*1.22</f>
        <v/>
      </c>
    </row>
    <row r="13">
      <c r="A13" s="1" t="inlineStr">
        <is>
          <t>Катушка электромагнитная со стандартной штекерной розеткой Festo MSFW-110-50/60 110 В AC IP65 (6720)</t>
        </is>
      </c>
      <c r="B13" s="1" t="inlineStr"/>
      <c r="C13" s="1" t="n">
        <v>10</v>
      </c>
      <c r="D13" s="1" t="inlineStr"/>
      <c r="F13" s="1" t="inlineStr"/>
      <c r="G13" s="1" t="inlineStr"/>
      <c r="H13">
        <f>3000*G13</f>
        <v/>
      </c>
      <c r="I13">
        <f>(E13+H13+(E13+H13)*0.2)*1.22</f>
        <v/>
      </c>
    </row>
    <row r="14">
      <c r="A14" s="1" t="inlineStr">
        <is>
          <t>Датчик-реле давления Festo PEV-1/4-B 1-12 бар (10773)</t>
        </is>
      </c>
      <c r="B14" s="1" t="inlineStr"/>
      <c r="C14" s="1" t="n">
        <v>4</v>
      </c>
      <c r="D14" s="1" t="inlineStr"/>
      <c r="F14" s="1" t="inlineStr"/>
      <c r="G14" s="1" t="inlineStr"/>
      <c r="H14">
        <f>3000*G14</f>
        <v/>
      </c>
      <c r="I14">
        <f>(E14+H14+(E14+H14)*0.2)*1.22</f>
        <v/>
      </c>
    </row>
    <row r="15">
      <c r="A15" s="1" t="inlineStr">
        <is>
          <t>Модуль электронный Festo VMPA2-FB-EMG-4 для пневмоострова MPA-S (537984)</t>
        </is>
      </c>
      <c r="B15" s="1" t="inlineStr"/>
      <c r="C15" s="1" t="n">
        <v>1</v>
      </c>
      <c r="D15" s="1" t="inlineStr"/>
      <c r="F15" s="1" t="inlineStr"/>
      <c r="G15" s="1" t="inlineStr"/>
      <c r="H15">
        <f>3000*G15</f>
        <v/>
      </c>
      <c r="I15">
        <f>(E15+H15+(E15+H15)*0.2)*1.22</f>
        <v/>
      </c>
    </row>
    <row r="16">
      <c r="A16" s="1" t="inlineStr">
        <is>
          <t>Распределитель с электроуправлением FESTO VMPA2-M1H-M-PI (537952)</t>
        </is>
      </c>
      <c r="B16" s="1" t="inlineStr"/>
      <c r="C16" s="1" t="n">
        <v>1</v>
      </c>
      <c r="D16" s="1" t="inlineStr"/>
      <c r="F16" s="1" t="inlineStr"/>
      <c r="G16" s="1" t="inlineStr"/>
      <c r="H16">
        <f>3000*G16</f>
        <v/>
      </c>
      <c r="I16">
        <f>(E16+H16+(E16+H16)*0.2)*1.22</f>
        <v/>
      </c>
    </row>
    <row r="17">
      <c r="A17" s="1" t="inlineStr">
        <is>
          <t>Комплект ремонтный Festo для цилиндра DNC-100-PPV-A (12242197)</t>
        </is>
      </c>
      <c r="B17" s="1" t="inlineStr"/>
      <c r="C17" s="1" t="n">
        <v>4</v>
      </c>
      <c r="D17" s="1" t="inlineStr"/>
      <c r="F17" s="1" t="inlineStr"/>
      <c r="G17" s="1" t="inlineStr"/>
      <c r="H17">
        <f>3000*G17</f>
        <v/>
      </c>
      <c r="I17">
        <f>(E17+H17+(E17+H17)*0.2)*1.22</f>
        <v/>
      </c>
    </row>
    <row r="18">
      <c r="A18" s="1" t="inlineStr">
        <is>
          <t>Комплект ремонтный Festo для цилиндра DNC-125-PPVA (369201)</t>
        </is>
      </c>
      <c r="B18" s="1" t="inlineStr"/>
      <c r="C18" s="1" t="n">
        <v>4</v>
      </c>
      <c r="D18" s="1" t="inlineStr"/>
      <c r="F18" s="1" t="inlineStr"/>
      <c r="G18" s="1" t="inlineStr"/>
      <c r="H18">
        <f>3000*G18</f>
        <v/>
      </c>
      <c r="I18">
        <f>(E18+H18+(E18+H18)*0.2)*1.22</f>
        <v/>
      </c>
    </row>
    <row r="19">
      <c r="A19" s="1" t="inlineStr">
        <is>
          <t>Датчик положения аналоговый Festo SDAT-MHS-M50-1L-SA-E-0.3-M8 50 мм 1000 Гц PNP (1531265)</t>
        </is>
      </c>
      <c r="B19" s="1" t="inlineStr"/>
      <c r="C19" s="1" t="n">
        <v>1</v>
      </c>
      <c r="D19" s="1" t="inlineStr"/>
      <c r="F19" s="1" t="inlineStr"/>
      <c r="G19" s="1" t="inlineStr"/>
      <c r="H19">
        <f>3000*G19</f>
        <v/>
      </c>
      <c r="I19">
        <f>(E19+H19+(E19+H19)*0.2)*1.22</f>
        <v/>
      </c>
    </row>
    <row r="20">
      <c r="A20" s="1" t="inlineStr">
        <is>
          <t>Розетка сетевого питания прямая Festo NECU-G78G5-C2 8 А 250 В 5-pin (543107)</t>
        </is>
      </c>
      <c r="B20" s="1" t="inlineStr"/>
      <c r="C20" s="1" t="n">
        <v>2</v>
      </c>
      <c r="D20" s="1" t="inlineStr"/>
      <c r="F20" s="1" t="inlineStr"/>
      <c r="G20" s="1" t="inlineStr"/>
      <c r="H20">
        <f>3000*G20</f>
        <v/>
      </c>
      <c r="I20">
        <f>(E20+H20+(E20+H20)*0.2)*1.22</f>
        <v/>
      </c>
    </row>
    <row r="21">
      <c r="A21" s="1" t="inlineStr">
        <is>
          <t>Штекер Festo FBS-RJ45-PP-GS 5х72х22 для пневмоостровов (552000)</t>
        </is>
      </c>
      <c r="B21" s="1" t="inlineStr"/>
      <c r="C21" s="1" t="n">
        <v>6</v>
      </c>
      <c r="D21" s="1" t="inlineStr"/>
      <c r="F21" s="1" t="inlineStr"/>
      <c r="G21" s="1" t="inlineStr"/>
      <c r="H21">
        <f>3000*G21</f>
        <v/>
      </c>
      <c r="I21">
        <f>(E21+H21+(E21+H21)*0.2)*1.22</f>
        <v/>
      </c>
    </row>
    <row r="22">
      <c r="A22" s="1" t="inlineStr">
        <is>
          <t>Элемент монтажный Festo MUC-18 (531752)</t>
        </is>
      </c>
      <c r="B22" s="1" t="inlineStr"/>
      <c r="C22" s="1" t="n">
        <v>2</v>
      </c>
      <c r="D22" s="1" t="inlineStr"/>
      <c r="F22" s="1" t="inlineStr"/>
      <c r="G22" s="1" t="inlineStr"/>
      <c r="H22">
        <f>3000*G22</f>
        <v/>
      </c>
      <c r="I22">
        <f>(E22+H22+(E22+H22)*0.2)*1.22</f>
        <v/>
      </c>
    </row>
    <row r="23">
      <c r="A23" s="1" t="inlineStr">
        <is>
          <t>Клапан пережимной с пневмоуправлением Festo VZQA-C-M22U-6-GG-V4V4E-4 Ду 6 мм Ру 4 бар G1/4" NO 0,7 м3/ч (2931678)</t>
        </is>
      </c>
      <c r="B23" s="1" t="inlineStr"/>
      <c r="C23" s="1" t="n">
        <v>1</v>
      </c>
      <c r="D23" s="1" t="inlineStr"/>
      <c r="F23" s="1" t="inlineStr"/>
      <c r="G23" s="1" t="inlineStr"/>
      <c r="H23">
        <f>3000*G23</f>
        <v/>
      </c>
      <c r="I23">
        <f>(E23+H23+(E23+H23)*0.2)*1.22</f>
        <v/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2026-03-07T11:09:42Z</dcterms:modified>
</cp:coreProperties>
</file>