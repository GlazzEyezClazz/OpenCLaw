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3"/>
  <sheetViews>
    <sheetView tabSelected="1" topLeftCell="B1" workbookViewId="0">
      <selection activeCell="J4" sqref="J4"/>
    </sheetView>
  </sheetViews>
  <sheetFormatPr baseColWidth="8" defaultRowHeight="15"/>
  <cols>
    <col width="42.5703125" bestFit="1" customWidth="1" min="1" max="1"/>
    <col width="42.5703125" customWidth="1" min="2" max="2"/>
    <col width="47.42578125" bestFit="1" customWidth="1" min="3" max="3"/>
    <col width="30.140625" bestFit="1" customWidth="1" min="4" max="4"/>
    <col width="6.140625" customWidth="1" min="5" max="5"/>
    <col width="31.140625" bestFit="1" customWidth="1" min="6" max="6"/>
    <col width="24.7109375" bestFit="1" customWidth="1" min="7" max="7"/>
    <col width="18.85546875" bestFit="1" customWidth="1" min="8" max="8"/>
    <col width="37" bestFit="1" customWidth="1" min="9" max="9"/>
    <col width="48.140625" bestFit="1" customWidth="1" min="10" max="10"/>
  </cols>
  <sheetData>
    <row r="3" customFormat="1" s="2">
      <c r="A3" s="2" t="inlineStr">
        <is>
          <t>Название товара</t>
        </is>
      </c>
      <c r="B3" s="2" t="inlineStr">
        <is>
          <t>Ссылка на страницу магазина</t>
        </is>
      </c>
      <c r="C3" s="2" t="inlineStr">
        <is>
          <t>Количество</t>
        </is>
      </c>
      <c r="D3" s="2" t="inlineStr">
        <is>
          <t>Цена в магазине в рублях</t>
        </is>
      </c>
      <c r="F3" s="2" t="inlineStr">
        <is>
          <t>Масса товара без упаковки</t>
        </is>
      </c>
      <c r="G3" s="2" t="inlineStr">
        <is>
          <t>Масса товара с упаковкой</t>
        </is>
      </c>
      <c r="H3" s="2" t="inlineStr">
        <is>
          <t>Цена доставки, руб</t>
        </is>
      </c>
      <c r="I3" s="2" t="inlineStr">
        <is>
          <t>(Цена закупки+доставки+маржа)*НДС</t>
        </is>
      </c>
      <c r="J3" s="2" t="inlineStr">
        <is>
          <t>Сумма в КП (что предлагаем поупателю в России)</t>
        </is>
      </c>
    </row>
    <row r="4">
      <c r="A4" s="1" t="inlineStr">
        <is>
          <t>Фланец с осью FESTO SNCS-80 (174401)</t>
        </is>
      </c>
      <c r="B4" s="1" t="inlineStr">
        <is>
          <t>https://russian.alibaba.com/search/page?SearchScene=proSearch&amp;SearchText=Festo%20174401%20SNCS-80&amp;pro=true&amp;from=pcHomeContent</t>
        </is>
      </c>
      <c r="C4" s="1" t="n">
        <v>1</v>
      </c>
      <c r="D4" s="1" t="n"/>
      <c r="F4" s="1" t="n"/>
      <c r="G4" s="1" t="n"/>
      <c r="H4">
        <f>3000*G4</f>
        <v/>
      </c>
      <c r="I4">
        <f>(E4+H4+(E4+H4)*0.2)*1.22</f>
        <v/>
      </c>
      <c r="J4">
        <f>I4*C4</f>
        <v/>
      </c>
    </row>
    <row r="5">
      <c r="A5" t="inlineStr">
        <is>
          <t>Головка шарнирная Festo SGS-M20x1,5 с шестигранной гайкой для сферического поворотного крепления цилиндров Festo серий DSBC, DSBG, DNC (9264)</t>
        </is>
      </c>
      <c r="B5" t="inlineStr">
        <is>
          <t>https://russian.alibaba.com/search/page?SearchScene=proSearch&amp;SearchText=Festo%209264&amp;pro=true&amp;from=pcHomeContent</t>
        </is>
      </c>
      <c r="C5" t="n">
        <v>2</v>
      </c>
    </row>
    <row r="6">
      <c r="A6" t="inlineStr">
        <is>
          <t>Распределитель Festo CPE14-M1BH-5L-1/8 с электроуправлением 8 бар 800 л/мин (196941)</t>
        </is>
      </c>
      <c r="B6" t="inlineStr">
        <is>
          <t>https://russian.alibaba.com/search/page?SearchScene=proSearch&amp;SearchText=Festo%20196941%20CPE14-M1BH-5L-1%2F8&amp;pro=true&amp;from=pcHomeContent</t>
        </is>
      </c>
      <c r="C6" t="n">
        <v>2</v>
      </c>
    </row>
    <row r="7">
      <c r="A7" t="inlineStr">
        <is>
          <t>Цилиндр стандартный FESTO DSN-12-25-P (5048)</t>
        </is>
      </c>
      <c r="B7" t="inlineStr">
        <is>
          <t>https://russian.alibaba.com/search/page?SearchScene=proSearch&amp;SearchText=Festo%205048%20DSN-12-25-P&amp;pro=true&amp;from=pcHomeContent</t>
        </is>
      </c>
      <c r="C7" t="n">
        <v>1</v>
      </c>
    </row>
    <row r="8">
      <c r="A8" t="inlineStr">
        <is>
          <t>Патрон стопорный Festo KP-25-5000 ф25 (178460)</t>
        </is>
      </c>
      <c r="B8" t="inlineStr">
        <is>
          <t>https://russian.alibaba.com/search/page?SearchScene=proSearch&amp;SearchText=Festo%20178460%20KP-25-5000&amp;pro=true&amp;from=pcHomeContent</t>
        </is>
      </c>
      <c r="C8" t="n">
        <v>2</v>
      </c>
    </row>
    <row r="9">
      <c r="A9" t="inlineStr">
        <is>
          <t>Розетка штекерная с кабелем Festo KME-1-24DC-5-LED 4 А 24 В 3-pin тип C IP67 (30945)</t>
        </is>
      </c>
      <c r="B9" t="inlineStr">
        <is>
          <t>https://russian.alibaba.com/search/page?SearchScene=proSearch&amp;SearchText=Festo%2030945%20KME-1-24DC-5-LED&amp;pro=true&amp;from=pcHomeContent</t>
        </is>
      </c>
      <c r="C9" t="n">
        <v>4</v>
      </c>
    </row>
    <row r="10">
      <c r="A10" t="inlineStr">
        <is>
          <t>Распределитель Festo MPYE-5-3/8-010-B с пропорциональным управлением 10 бар 2000 л/мин (151695)</t>
        </is>
      </c>
      <c r="B10" t="inlineStr">
        <is>
          <t>https://www.alibaba.com/product-detail/For-Festo-151695-Original-Proportional-Directional_1601521932297.html?priceId=9a969951650f4eb1b7949a858fc3b2a7</t>
        </is>
      </c>
      <c r="C10" t="n">
        <v>1</v>
      </c>
      <c r="D10" t="n">
        <v>15893.67</v>
      </c>
    </row>
    <row r="11">
      <c r="A11" t="inlineStr">
        <is>
          <t>Распределитель Festo MFH-5-1/8-B с электроуправлением 10 бар 750 л/мин (19758)</t>
        </is>
      </c>
      <c r="B11" t="inlineStr">
        <is>
          <t>https://www.alibaba.com/product-detail/New-Festos-1635983-Valve-VPPL-3L_1601110287497.html?priceId=a55972b95a2c4dbcab46832001eaf0f8</t>
        </is>
      </c>
      <c r="C11" t="n">
        <v>7</v>
      </c>
      <c r="D11" t="n">
        <v>654854.11</v>
      </c>
    </row>
    <row r="12">
      <c r="A12" t="inlineStr">
        <is>
          <t>Плита Festo PRS-1/8-7-BB для блочного монтажа (30547)</t>
        </is>
      </c>
      <c r="B12" t="inlineStr">
        <is>
          <t>https://www.alibaba.com/product-detail/New-Original-Ready-PRS-1-8_1601709588396.html?priceId=673e87f28f114406bed9b780edf225f2</t>
        </is>
      </c>
      <c r="C12" t="n">
        <v>1</v>
      </c>
      <c r="D12" t="n">
        <v>165310.38</v>
      </c>
    </row>
    <row r="13">
      <c r="A13" t="inlineStr">
        <is>
          <t>Катушка электромагнитная со стандартной штекерной розеткой Festo MSFW-110-50/60 110 В AC IP65 (6720)</t>
        </is>
      </c>
      <c r="B13" t="inlineStr">
        <is>
          <t>https://www.alibaba.com/product-detail/FESTO-MSFW-solenoid-valve-coil-MSFW_1601708783626.html?priceId=70ad639effc84c08a4e5dd5bc47e395f</t>
        </is>
      </c>
      <c r="C13" t="n">
        <v>10</v>
      </c>
      <c r="D13" t="n">
        <v>3994.08</v>
      </c>
    </row>
    <row r="14">
      <c r="A14" t="inlineStr">
        <is>
          <t>Датчик-реле давления Festo PEV-1/4-B 1-12 бар (10773)</t>
        </is>
      </c>
      <c r="B14" t="inlineStr">
        <is>
          <t>https://www.alibaba.com/product-detail/FEST-Pressure-Switch-192489-VPEV-1_1601690415701.html?priceId=b22ba7fa58944f54beabc6dec6a74328</t>
        </is>
      </c>
      <c r="C14" t="n">
        <v>4</v>
      </c>
      <c r="D14" t="n">
        <v>2509.04</v>
      </c>
    </row>
    <row r="15">
      <c r="A15" s="2" t="inlineStr">
        <is>
          <t>Модуль электронный Festo VMPA2-FB-EMG-4 для пневмоострова MPA-S (537984)</t>
        </is>
      </c>
      <c r="B15" s="2" t="inlineStr">
        <is>
          <t>https://russian.alibaba.com/search/page?SearchScene=proSearch&amp;SearchText=Festo%20537984%20VMPA2-FB-EMG-4&amp;pro=true&amp;from=pcHomeContent</t>
        </is>
      </c>
      <c r="C15" t="n">
        <v>1</v>
      </c>
    </row>
    <row r="16">
      <c r="A16" t="inlineStr">
        <is>
          <t>Распределитель с электроуправлением FESTO VMPA2-M1H-M-PI (537952)</t>
        </is>
      </c>
      <c r="B16" t="inlineStr">
        <is>
          <t>https://russian.alibaba.com/search/page?SearchScene=proSearch&amp;SearchText=Festo%20537952%20VMPA2-M1H-M-PI&amp;pro=true&amp;from=pcHomeContent</t>
        </is>
      </c>
      <c r="C16" t="n">
        <v>1</v>
      </c>
    </row>
    <row r="17">
      <c r="A17" t="inlineStr">
        <is>
          <t>Комплект ремонтный Festo для цилиндра DNC-100-PPV-A (12242197)</t>
        </is>
      </c>
      <c r="B17" t="inlineStr">
        <is>
          <t>https://russian.alibaba.com/search/page?SearchScene=proSearch&amp;SearchText=Festo%2012242197%20DNC-100-PPV-A&amp;pro=true&amp;from=pcHomeContent</t>
        </is>
      </c>
      <c r="C17" t="n">
        <v>4</v>
      </c>
    </row>
    <row r="18">
      <c r="A18" t="inlineStr">
        <is>
          <t>Комплект ремонтный Festo для цилиндра DNC-125-PPVA (369201)</t>
        </is>
      </c>
      <c r="B18" t="inlineStr">
        <is>
          <t>https://russian.alibaba.com/search/page?SearchScene=proSearch&amp;SearchText=Festo%20369201%20DNC-125-PPVA&amp;pro=true&amp;from=pcHomeContent</t>
        </is>
      </c>
      <c r="C18" t="n">
        <v>4</v>
      </c>
    </row>
    <row r="19">
      <c r="A19" t="inlineStr">
        <is>
          <t>Датчик положения аналоговый Festo SDAT-MHS-M50-1L-SA-E-0.3-M8 50 мм 1000 Гц PNP (1531265)</t>
        </is>
      </c>
      <c r="B19" t="inlineStr">
        <is>
          <t>https://russian.alibaba.com/search/page?SearchScene=proSearch&amp;SearchText=Festo%201531265%20SDAT-MHS-M50-1L-SA-E-0&amp;pro=true&amp;from=pcHomeContent</t>
        </is>
      </c>
      <c r="C19" t="n">
        <v>1</v>
      </c>
    </row>
    <row r="20">
      <c r="A20" t="inlineStr">
        <is>
          <t>Розетка сетевого питания прямая Festo NECU-G78G5-C2 8 А 250 В 5-pin (543107)</t>
        </is>
      </c>
      <c r="B20" t="inlineStr">
        <is>
          <t>https://russian.alibaba.com/search/page?SearchScene=proSearch&amp;SearchText=Festo%20543107%20NECU-G78G5-C2&amp;pro=true&amp;from=pcHomeContent</t>
        </is>
      </c>
      <c r="C20" t="n">
        <v>2</v>
      </c>
    </row>
    <row r="21">
      <c r="A21" t="inlineStr">
        <is>
          <t>Штекер Festo FBS-RJ45-PP-GS 5х72х22 для пневмоостровов (552000)</t>
        </is>
      </c>
      <c r="B21" t="inlineStr">
        <is>
          <t>https://russian.alibaba.com/search/page?SearchScene=proSearch&amp;SearchText=Festo%20552000%20FBS-RJ45-PP-GS&amp;pro=true&amp;from=pcHomeContent</t>
        </is>
      </c>
      <c r="C21" t="n">
        <v>6</v>
      </c>
    </row>
    <row r="22">
      <c r="A22" t="inlineStr">
        <is>
          <t>Элемент монтажный Festo MUC-18 (531752)</t>
        </is>
      </c>
      <c r="B22" t="inlineStr">
        <is>
          <t>https://russian.alibaba.com/search/page?SearchScene=proSearch&amp;SearchText=Festo%20531752%20MUC-18&amp;pro=true&amp;from=pcHomeContent</t>
        </is>
      </c>
      <c r="C22" t="n">
        <v>2</v>
      </c>
    </row>
    <row r="23">
      <c r="A23" t="inlineStr">
        <is>
          <t>Клапан пережимной с пневмоуправлением Festo VZQA-C-M22U-6-GG-V4V4E-4 Ду 6 мм Ру 4 бар G1/4" NO 0,7 м3/ч (2931678)</t>
        </is>
      </c>
      <c r="B23" t="inlineStr">
        <is>
          <t>https://russian.alibaba.com/search/page?SearchScene=proSearch&amp;SearchText=Festo%202931678%20VZQA-C-M22U-6-GG-V4V4E-4&amp;pro=true&amp;from=pcHomeContent</t>
        </is>
      </c>
      <c r="C23" t="n">
        <v>1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2026-03-07T12:19:25Z</dcterms:modified>
</cp:coreProperties>
</file>